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Alternatives" sheetId="2" state="visible" r:id="rId2"/>
    <sheet xmlns:r="http://schemas.openxmlformats.org/officeDocument/2006/relationships" name="Phase 2 - Full rob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b val="1"/>
      <color rgb="000000FF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9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0" fontId="3" fillId="4" borderId="0" applyAlignment="1" pivotButton="0" quotePrefix="0" xfId="0">
      <alignment horizontal="right"/>
    </xf>
    <xf numFmtId="0" fontId="0" fillId="4" borderId="0" pivotButton="0" quotePrefix="0" xfId="0"/>
    <xf numFmtId="164" fontId="3" fillId="4" borderId="1" pivotButton="0" quotePrefix="0" xfId="0"/>
    <xf numFmtId="0" fontId="7" fillId="4" borderId="0" applyAlignment="1" pivotButton="0" quotePrefix="0" xfId="0">
      <alignment horizontal="right"/>
    </xf>
    <xf numFmtId="0" fontId="9" fillId="4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7" fillId="5" borderId="1" applyAlignment="1" pivotButton="0" quotePrefix="0" xfId="0">
      <alignment vertical="top" wrapText="1"/>
    </xf>
    <xf numFmtId="0" fontId="3" fillId="5" borderId="0" applyAlignment="1" pivotButton="0" quotePrefix="0" xfId="0">
      <alignment horizontal="right"/>
    </xf>
    <xf numFmtId="164" fontId="3" fillId="5" borderId="1" pivotButton="0" quotePrefix="0" xfId="0"/>
    <xf numFmtId="0" fontId="7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a/dp/B0C9THDPXP" TargetMode="External" Id="rId1"/><Relationship Type="http://schemas.openxmlformats.org/officeDocument/2006/relationships/hyperlink" Target="https://www.amazon.ca/dp/B07MFK266B" TargetMode="External" Id="rId2"/><Relationship Type="http://schemas.openxmlformats.org/officeDocument/2006/relationships/hyperlink" Target="https://www.amazon.ca/dp/B07BRS249H" TargetMode="External" Id="rId3"/><Relationship Type="http://schemas.openxmlformats.org/officeDocument/2006/relationships/hyperlink" Target="https://www.amazon.ca/dp/B08N4FB7MF" TargetMode="External" Id="rId4"/><Relationship Type="http://schemas.openxmlformats.org/officeDocument/2006/relationships/hyperlink" Target="https://www.amazon.ca/dp/B0C4JJ2HB4" TargetMode="External" Id="rId5"/><Relationship Type="http://schemas.openxmlformats.org/officeDocument/2006/relationships/hyperlink" Target="https://www.amazon.ca/dp/B0791D5G7J" TargetMode="External" Id="rId6"/><Relationship Type="http://schemas.openxmlformats.org/officeDocument/2006/relationships/hyperlink" Target="https://www.amazon.ca/dp/B0D7W3RT31" TargetMode="External" Id="rId7"/><Relationship Type="http://schemas.openxmlformats.org/officeDocument/2006/relationships/hyperlink" Target="https://www.amazon.ca/dp/B01EV70C78" TargetMode="External" Id="rId8"/><Relationship Type="http://schemas.openxmlformats.org/officeDocument/2006/relationships/hyperlink" Target="https://www.amazon.ca/dp/B09VGDJ6Z8" TargetMode="External" Id="rId9"/><Relationship Type="http://schemas.openxmlformats.org/officeDocument/2006/relationships/hyperlink" Target="https://www.amazon.ca/dp/B01AQOI36M" TargetMode="External" Id="rId10"/><Relationship Type="http://schemas.openxmlformats.org/officeDocument/2006/relationships/hyperlink" Target="https://www.digikey.ca/en/products/detail/interlink-electronics/30-81794/2476468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mazon.ca/dp/B0BWJ26PX2" TargetMode="External" Id="rId1"/><Relationship Type="http://schemas.openxmlformats.org/officeDocument/2006/relationships/hyperlink" Target="https://www.amazon.ca/dp/B09LS7RB5J" TargetMode="External" Id="rId2"/><Relationship Type="http://schemas.openxmlformats.org/officeDocument/2006/relationships/hyperlink" Target="https://www.amazon.ca/dp/B0BZ4N367M" TargetMode="External" Id="rId3"/><Relationship Type="http://schemas.openxmlformats.org/officeDocument/2006/relationships/hyperlink" Target="https://www.amazon.ca/dp/B0FH53CKCS" TargetMode="External" Id="rId4"/><Relationship Type="http://schemas.openxmlformats.org/officeDocument/2006/relationships/hyperlink" Target="https://www.amazon.ca/dp/B06XSFFXQY" TargetMode="External" Id="rId5"/><Relationship Type="http://schemas.openxmlformats.org/officeDocument/2006/relationships/hyperlink" Target="https://www.amazon.ca/dp/B0CKXW6ZCJ" TargetMode="External" Id="rId6"/><Relationship Type="http://schemas.openxmlformats.org/officeDocument/2006/relationships/hyperlink" Target="https://www.amazon.ca/dp/B07KC55TJF" TargetMode="External" Id="rId7"/><Relationship Type="http://schemas.openxmlformats.org/officeDocument/2006/relationships/hyperlink" Target="https://www.amazon.ca/dp/B07BQCMPF2" TargetMode="External" Id="rId8"/><Relationship Type="http://schemas.openxmlformats.org/officeDocument/2006/relationships/hyperlink" Target="https://www.amazon.ca/dp/B07JMY5XXT" TargetMode="External" Id="rId9"/><Relationship Type="http://schemas.openxmlformats.org/officeDocument/2006/relationships/hyperlink" Target="https://www.amazon.ca/dp/B01MRMI7R1" TargetMode="External" Id="rId10"/><Relationship Type="http://schemas.openxmlformats.org/officeDocument/2006/relationships/hyperlink" Target="https://www.amazon.ca/dp/B0D7CP84F4" TargetMode="External" Id="rId11"/><Relationship Type="http://schemas.openxmlformats.org/officeDocument/2006/relationships/hyperlink" Target="https://www.amazon.ca/dp/B0BTT48V7P" TargetMode="External" Id="rId12"/><Relationship Type="http://schemas.openxmlformats.org/officeDocument/2006/relationships/hyperlink" Target="https://www.amazon.ca/dp/B07NJB58XC" TargetMode="External" Id="rId13"/><Relationship Type="http://schemas.openxmlformats.org/officeDocument/2006/relationships/hyperlink" Target="https://www.amazon.ca/dp/B07HGTKQ89" TargetMode="External" Id="rId14"/><Relationship Type="http://schemas.openxmlformats.org/officeDocument/2006/relationships/hyperlink" Target="https://www.digikey.ca/en/products/detail/interlink-electronics/30-81794/2476468" TargetMode="External" Id="rId15"/><Relationship Type="http://schemas.openxmlformats.org/officeDocument/2006/relationships/hyperlink" Target="https://www.amazon.ca/dp/B0B5F7JDT5" TargetMode="External" Id="rId16"/></Relationships>
</file>

<file path=xl/worksheets/_rels/sheet3.xml.rels><Relationships xmlns="http://schemas.openxmlformats.org/package/2006/relationships"><Relationship Type="http://schemas.openxmlformats.org/officeDocument/2006/relationships/hyperlink" Target="https://nfpmotor.com/12v-24v-dc-permanent-magnet-dc-turbo-worm-reduction-motor-model-nfp-5840-31zy" TargetMode="External" Id="rId1"/><Relationship Type="http://schemas.openxmlformats.org/officeDocument/2006/relationships/hyperlink" Target="https://microdcmotors.com/product/12v-24v-high-torque-low-speed-dc-motor-with-encoder-self-locking-model-nfp-5840-31zy-en" TargetMode="External" Id="rId2"/><Relationship Type="http://schemas.openxmlformats.org/officeDocument/2006/relationships/hyperlink" Target="https://www.aliexpress.com/item/1005008670304643.html" TargetMode="External" Id="rId3"/><Relationship Type="http://schemas.openxmlformats.org/officeDocument/2006/relationships/hyperlink" Target="https://www.kijiji.ca/b-city-of-toronto/hoverboard/k0c170l1700273" TargetMode="External" Id="rId4"/><Relationship Type="http://schemas.openxmlformats.org/officeDocument/2006/relationships/hyperlink" Target="https://www.amazon.ca/" TargetMode="External" Id="rId5"/><Relationship Type="http://schemas.openxmlformats.org/officeDocument/2006/relationships/hyperlink" Target="https://www.amazon.ca/" TargetMode="External" Id="rId6"/><Relationship Type="http://schemas.openxmlformats.org/officeDocument/2006/relationships/hyperlink" Target="https://www.amazon.ca/" TargetMode="External" Id="rId7"/><Relationship Type="http://schemas.openxmlformats.org/officeDocument/2006/relationships/hyperlink" Target="https://www.universal-solder.ca/product/dual-bts7960-h-bridge-dc-motor-driver-max-43a/" TargetMode="External" Id="rId8"/><Relationship Type="http://schemas.openxmlformats.org/officeDocument/2006/relationships/hyperlink" Target="https://www.aliexpress.com/w/wholesale-as5600-module.html" TargetMode="External" Id="rId9"/><Relationship Type="http://schemas.openxmlformats.org/officeDocument/2006/relationships/hyperlink" Target="https://www.waveshare.com/bus-servo-adapter-a.htm" TargetMode="External" Id="rId10"/><Relationship Type="http://schemas.openxmlformats.org/officeDocument/2006/relationships/hyperlink" Target="https://www.amazon.ca/dp/B07M6Y7355" TargetMode="External" Id="rId11"/><Relationship Type="http://schemas.openxmlformats.org/officeDocument/2006/relationships/hyperlink" Target="https://www.aliexpress.com/w/wholesale-wide-angle-usb-camera.html" TargetMode="External" Id="rId12"/><Relationship Type="http://schemas.openxmlformats.org/officeDocument/2006/relationships/hyperlink" Target="https://www.aliexpress.com/w/wholesale-bno085.html" TargetMode="External" Id="rId13"/><Relationship Type="http://schemas.openxmlformats.org/officeDocument/2006/relationships/hyperlink" Target="https://www.aliexpress.com/item/1005008074862037.html" TargetMode="External" Id="rId14"/><Relationship Type="http://schemas.openxmlformats.org/officeDocument/2006/relationships/hyperlink" Target="https://www.amazon.ca/dp/B00OTK16FK" TargetMode="External" Id="rId15"/><Relationship Type="http://schemas.openxmlformats.org/officeDocument/2006/relationships/hyperlink" Target="https://www.amazon.ca/" TargetMode="External" Id="rId16"/><Relationship Type="http://schemas.openxmlformats.org/officeDocument/2006/relationships/hyperlink" Target="https://www.amazon.ca/dp/B08SQFT9TW" TargetMode="External" Id="rId17"/><Relationship Type="http://schemas.openxmlformats.org/officeDocument/2006/relationships/hyperlink" Target="https://www.amazon.ca/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4" customWidth="1" min="3" max="3"/>
    <col width="15" customWidth="1" min="4" max="4"/>
    <col width="10" customWidth="1" min="5" max="5"/>
    <col width="16" customWidth="1" min="6" max="6"/>
    <col width="80" customWidth="1" min="7" max="7"/>
  </cols>
  <sheetData>
    <row r="1">
      <c r="A1" s="1" t="inlineStr">
        <is>
          <t>robotai - Phase 1: Two InMoov-style robotic hands - Bill of Materials</t>
        </is>
      </c>
    </row>
    <row r="2">
      <c r="A2" s="2" t="inlineStr">
        <is>
          <t>All prices CAD, read from the linked pages on 2026-09-25. 3D-printed parts excluded (printing covered). Blue cells = inputs (edit price/qty); totals recalc automatically.</t>
        </is>
      </c>
    </row>
    <row r="3">
      <c r="A3" s="3" t="inlineStr">
        <is>
          <t>Budget (CAD)</t>
        </is>
      </c>
      <c r="B3" s="4" t="n">
        <v>500</v>
      </c>
      <c r="C3" s="3" t="inlineStr">
        <is>
          <t>Sales tax rate (ON HST)</t>
        </is>
      </c>
      <c r="D3" s="5" t="n">
        <v>0.13</v>
      </c>
    </row>
    <row r="5">
      <c r="A5" s="6" t="inlineStr">
        <is>
          <t>CORE BOM</t>
        </is>
      </c>
      <c r="B5" s="7" t="n"/>
      <c r="C5" s="7" t="n"/>
      <c r="D5" s="7" t="n"/>
      <c r="E5" s="7" t="n"/>
      <c r="F5" s="7" t="n"/>
      <c r="G5" s="7" t="n"/>
    </row>
    <row r="6">
      <c r="A6" s="8" t="inlineStr">
        <is>
          <t>Item</t>
        </is>
      </c>
      <c r="B6" s="8" t="inlineStr">
        <is>
          <t>Product Name</t>
        </is>
      </c>
      <c r="C6" s="8" t="inlineStr">
        <is>
          <t>Link</t>
        </is>
      </c>
      <c r="D6" s="8" t="inlineStr">
        <is>
          <t>Unit Price (CAD)</t>
        </is>
      </c>
      <c r="E6" s="8" t="inlineStr">
        <is>
          <t>Quantity</t>
        </is>
      </c>
      <c r="F6" s="8" t="inlineStr">
        <is>
          <t>Line Total (CAD)</t>
        </is>
      </c>
      <c r="G6" s="8" t="inlineStr">
        <is>
          <t>Notes/Rationale</t>
        </is>
      </c>
    </row>
    <row r="7">
      <c r="A7" s="9" t="inlineStr">
        <is>
          <t>ESP32 dev board (x2, one per hand)</t>
        </is>
      </c>
      <c r="B7" s="9" t="inlineStr">
        <is>
          <t>Freenove ESP32 Development Board ESP32 Kit (2 Pack)</t>
        </is>
      </c>
      <c r="C7" s="10" t="inlineStr">
        <is>
          <t>https://www.amazon.ca/dp/B0C9THDPXP</t>
        </is>
      </c>
      <c r="D7" s="11" t="n">
        <v>27.95</v>
      </c>
      <c r="E7" s="12" t="n">
        <v>1</v>
      </c>
      <c r="F7" s="13">
        <f>D7*E7</f>
        <v/>
      </c>
      <c r="G7" s="9" t="inlineStr">
        <is>
          <t>One 2-pack covers both hands ($13.98/board). ESP32-WROOM, 4.4* (527), well documented.</t>
        </is>
      </c>
    </row>
    <row r="8">
      <c r="A8" s="9" t="inlineStr">
        <is>
          <t>Finger servos (10 + 2 spares) - GOOD tier</t>
        </is>
      </c>
      <c r="B8" s="9" t="inlineStr">
        <is>
          <t>Deegoo-FPV MG996R Metal Gear Digital Servo, 4-Pack</t>
        </is>
      </c>
      <c r="C8" s="10" t="inlineStr">
        <is>
          <t>https://www.amazon.ca/dp/B07MFK266B</t>
        </is>
      </c>
      <c r="D8" s="11" t="n">
        <v>35.22</v>
      </c>
      <c r="E8" s="12" t="n">
        <v>3</v>
      </c>
      <c r="F8" s="13">
        <f>D8*E8</f>
        <v/>
      </c>
      <c r="G8" s="9" t="inlineStr">
        <is>
          <t>12 metal-gear standard servos, ~12 kg-cm @6V, $8.81/ea, 4.5* (1,182). Fits stock InMoov forearm. Showed 'only 6 left' - fallback: Aideepen MG996R 6-pack x2 (see Alternatives).</t>
        </is>
      </c>
    </row>
    <row r="9">
      <c r="A9" s="9" t="inlineStr">
        <is>
          <t>Servo driver (x2, one per hand)</t>
        </is>
      </c>
      <c r="B9" s="9" t="inlineStr">
        <is>
          <t>HiLetgo PCA9685 16-Channel 12-Bit PWM Servo Driver (I2C), 2-Pack</t>
        </is>
      </c>
      <c r="C9" s="10" t="inlineStr">
        <is>
          <t>https://www.amazon.ca/dp/B07BRS249H</t>
        </is>
      </c>
      <c r="D9" s="11" t="n">
        <v>24.14</v>
      </c>
      <c r="E9" s="12" t="n">
        <v>1</v>
      </c>
      <c r="F9" s="13">
        <f>D9*E9</f>
        <v/>
      </c>
      <c r="G9" s="9" t="inlineStr">
        <is>
          <t>Adafruit-layout clone, works with Adafruit PWM library on ESP32. One board per hand matches 1-ESP32-per-hand; a single board (16 ch) could drive all 10 servos but would tie both hands to one ESP32.</t>
        </is>
      </c>
    </row>
    <row r="10">
      <c r="A10" s="9" t="inlineStr">
        <is>
          <t>Servo power supply (x2, one per hand)</t>
        </is>
      </c>
      <c r="B10" s="9" t="inlineStr">
        <is>
          <t>SHNITPWR 3.5-12V Adjustable 10A 120W Power Supply w/ LCD</t>
        </is>
      </c>
      <c r="C10" s="10" t="inlineStr">
        <is>
          <t>https://www.amazon.ca/dp/B08N4FB7MF</t>
        </is>
      </c>
      <c r="D10" s="11" t="n">
        <v>36.99</v>
      </c>
      <c r="E10" s="12" t="n">
        <v>2</v>
      </c>
      <c r="F10" s="13">
        <f>D10*E10</f>
        <v/>
      </c>
      <c r="G10" s="9" t="inlineStr">
        <is>
          <t>Set to 6V. 10A = 5 MG996R running + 2-3 stalled (~2.5A stall each). LCD guards against accidental 12V. 4.3* (216). Servos NEVER on ESP32 5V pin; tie grounds.</t>
        </is>
      </c>
    </row>
    <row r="11">
      <c r="A11" s="9" t="inlineStr">
        <is>
          <t>DC barrel-jack to screw-terminal adapters</t>
        </is>
      </c>
      <c r="B11" s="9" t="inlineStr">
        <is>
          <t>20 PCS Female DC 5.5x2.1mm Barrel to Screw Terminal</t>
        </is>
      </c>
      <c r="C11" s="10" t="inlineStr">
        <is>
          <t>https://www.amazon.ca/dp/B0C4JJ2HB4</t>
        </is>
      </c>
      <c r="D11" s="11" t="n">
        <v>11.99</v>
      </c>
      <c r="E11" s="12" t="n">
        <v>1</v>
      </c>
      <c r="F11" s="13">
        <f>D11*E11</f>
        <v/>
      </c>
      <c r="G11" s="9" t="inlineStr">
        <is>
          <t>Connects PSU to PCA9685 V+ terminal. Small jacks run warm near 10A - cutting the plug and screwing wire in is safer.</t>
        </is>
      </c>
    </row>
    <row r="12">
      <c r="A12" s="9" t="inlineStr">
        <is>
          <t>Tendon line (shared spool)</t>
        </is>
      </c>
      <c r="B12" s="9" t="inlineStr">
        <is>
          <t>HERCULES 8-Strand Braided PE Fishing Line, 50lb, 0.37mm, 100m</t>
        </is>
      </c>
      <c r="C12" s="10" t="inlineStr">
        <is>
          <t>https://www.amazon.ca/dp/B0791D5G7J</t>
        </is>
      </c>
      <c r="D12" s="11" t="n">
        <v>16.99</v>
      </c>
      <c r="E12" s="12" t="n">
        <v>1</v>
      </c>
      <c r="F12" s="13">
        <f>D12*E12</f>
        <v/>
      </c>
      <c r="G12" s="9" t="inlineStr">
        <is>
          <t>InMoov-class braid, low stretch; 100m is far more than both hands need. 4.5* (7.7K). Price for 50lb/100m variant.</t>
        </is>
      </c>
    </row>
    <row r="13">
      <c r="A13" s="9" t="inlineStr">
        <is>
          <t>Finger return springs</t>
        </is>
      </c>
      <c r="B13" s="9" t="inlineStr">
        <is>
          <t>Swpeet 150pc Stainless Extension Spring Assortment (15 sizes x 10)</t>
        </is>
      </c>
      <c r="C13" s="10" t="inlineStr">
        <is>
          <t>https://www.amazon.ca/dp/B0D7W3RT31</t>
        </is>
      </c>
      <c r="D13" s="11" t="n">
        <v>20.99</v>
      </c>
      <c r="E13" s="12" t="n">
        <v>1</v>
      </c>
      <c r="F13" s="13">
        <f>D13*E13</f>
        <v/>
      </c>
      <c r="G13" s="9" t="inlineStr">
        <is>
          <t>10 of each size, so 10 matching springs per size for 10 fingers, lets you tune return force. 4.6* (111).</t>
        </is>
      </c>
    </row>
    <row r="14">
      <c r="A14" s="9" t="inlineStr">
        <is>
          <t>Jumper wire kit</t>
        </is>
      </c>
      <c r="B14" s="9" t="inlineStr">
        <is>
          <t>ELEGOO 120pc 20cm Dupont Wire (40 M-F / 40 M-M / 40 F-F)</t>
        </is>
      </c>
      <c r="C14" s="10" t="inlineStr">
        <is>
          <t>https://www.amazon.ca/dp/B01EV70C78</t>
        </is>
      </c>
      <c r="D14" s="11" t="n">
        <v>12.99</v>
      </c>
      <c r="E14" s="12" t="n">
        <v>1</v>
      </c>
      <c r="F14" s="13">
        <f>D14*E14</f>
        <v/>
      </c>
      <c r="G14" s="9" t="inlineStr">
        <is>
          <t>Signal/I2C wiring ESP32&lt;-&gt;PCA9685. 4.7* (14.8K). One kit covers both hands.</t>
        </is>
      </c>
    </row>
    <row r="15">
      <c r="A15" s="9" t="inlineStr">
        <is>
          <t>Servo extension cables</t>
        </is>
      </c>
      <c r="B15" s="9" t="inlineStr">
        <is>
          <t>10pc 30cm 3-Pin Servo Extension Cable (JR, F-M)</t>
        </is>
      </c>
      <c r="C15" s="10" t="inlineStr">
        <is>
          <t>https://www.amazon.ca/dp/B09VGDJ6Z8</t>
        </is>
      </c>
      <c r="D15" s="11" t="n">
        <v>8.27</v>
      </c>
      <c r="E15" s="12" t="n">
        <v>1</v>
      </c>
      <c r="F15" s="13">
        <f>D15*E15</f>
        <v/>
      </c>
      <c r="G15" s="9" t="inlineStr">
        <is>
          <t>Forearm servos to PCA9685 headers. Free shipping but slow (est. Oct 20-Nov 9); Prime alt in Alternatives.</t>
        </is>
      </c>
    </row>
    <row r="16">
      <c r="A16" s="9" t="inlineStr">
        <is>
          <t>Servo power wire</t>
        </is>
      </c>
      <c r="B16" s="9" t="inlineStr">
        <is>
          <t>BNTECHGO 18 AWG Silicone Wire, Red/Black, 10ft</t>
        </is>
      </c>
      <c r="C16" s="10" t="inlineStr">
        <is>
          <t>https://www.amazon.ca/dp/B01AQOI36M</t>
        </is>
      </c>
      <c r="D16" s="11" t="n">
        <v>13.44</v>
      </c>
      <c r="E16" s="12" t="n">
        <v>1</v>
      </c>
      <c r="F16" s="13">
        <f>D16*E16</f>
        <v/>
      </c>
      <c r="G16" s="9" t="inlineStr">
        <is>
          <t>18AWG handles the 10A servo bus; Dupont wire (24AWG) must not carry servo power. 4.5* (438).</t>
        </is>
      </c>
    </row>
    <row r="17">
      <c r="A17" s="14" t="inlineStr">
        <is>
          <t>Core subtotal (pre-tax)</t>
        </is>
      </c>
      <c r="B17" s="15" t="n"/>
      <c r="C17" s="15" t="n"/>
      <c r="D17" s="15" t="n"/>
      <c r="E17" s="15" t="n"/>
      <c r="F17" s="16">
        <f>SUM(F7:F16)</f>
        <v/>
      </c>
      <c r="G17" s="15" t="n"/>
    </row>
    <row r="18">
      <c r="A18" s="17" t="inlineStr">
        <is>
          <t>Est. HST on core (13%, shipping not included)</t>
        </is>
      </c>
      <c r="B18" s="15" t="n"/>
      <c r="C18" s="15" t="n"/>
      <c r="D18" s="15" t="n"/>
      <c r="E18" s="15" t="n"/>
      <c r="F18" s="16">
        <f>F17*$D$3</f>
        <v/>
      </c>
      <c r="G18" s="15" t="n"/>
    </row>
    <row r="19">
      <c r="A19" s="14" t="inlineStr">
        <is>
          <t>CORE TOTAL incl. tax</t>
        </is>
      </c>
      <c r="B19" s="15" t="n"/>
      <c r="C19" s="15" t="n"/>
      <c r="D19" s="15" t="n"/>
      <c r="E19" s="15" t="n"/>
      <c r="F19" s="16">
        <f>F17+F18</f>
        <v/>
      </c>
      <c r="G19" s="15" t="n"/>
    </row>
    <row r="20">
      <c r="A20" s="14" t="inlineStr">
        <is>
          <t>Headroom under budget</t>
        </is>
      </c>
      <c r="B20" s="15" t="n"/>
      <c r="C20" s="15" t="n"/>
      <c r="D20" s="15" t="n"/>
      <c r="E20" s="15" t="n"/>
      <c r="F20" s="16">
        <f>$B$3-F19</f>
        <v/>
      </c>
      <c r="G20" s="15" t="n"/>
    </row>
    <row r="21">
      <c r="A21" s="14" t="inlineStr">
        <is>
          <t>Under $500 CAD?</t>
        </is>
      </c>
      <c r="B21" s="15" t="n"/>
      <c r="C21" s="15" t="n"/>
      <c r="D21" s="15" t="n"/>
      <c r="E21" s="15" t="n"/>
      <c r="F21" s="18">
        <f>IF(F19&lt;=$B$3,"YES - under budget","NO - over budget")</f>
        <v/>
      </c>
      <c r="G21" s="15" t="n"/>
    </row>
    <row r="23">
      <c r="A23" s="19" t="inlineStr">
        <is>
          <t>OPTIONAL - fingertip force sensors (NOT in core total)</t>
        </is>
      </c>
      <c r="B23" s="20" t="n"/>
      <c r="C23" s="20" t="n"/>
      <c r="D23" s="20" t="n"/>
      <c r="E23" s="20" t="n"/>
      <c r="F23" s="20" t="n"/>
      <c r="G23" s="20" t="n"/>
    </row>
    <row r="24">
      <c r="A24" s="8" t="inlineStr">
        <is>
          <t>Item</t>
        </is>
      </c>
      <c r="B24" s="8" t="inlineStr">
        <is>
          <t>Product Name</t>
        </is>
      </c>
      <c r="C24" s="8" t="inlineStr">
        <is>
          <t>Link</t>
        </is>
      </c>
      <c r="D24" s="8" t="inlineStr">
        <is>
          <t>Unit Price (CAD)</t>
        </is>
      </c>
      <c r="E24" s="8" t="inlineStr">
        <is>
          <t>Quantity</t>
        </is>
      </c>
      <c r="F24" s="8" t="inlineStr">
        <is>
          <t>Line Total (CAD)</t>
        </is>
      </c>
      <c r="G24" s="8" t="inlineStr">
        <is>
          <t>Notes/Rationale</t>
        </is>
      </c>
    </row>
    <row r="25">
      <c r="A25" s="21" t="inlineStr">
        <is>
          <t>Fingertip force sensors (x2, proof of concept)</t>
        </is>
      </c>
      <c r="B25" s="21" t="inlineStr">
        <is>
          <t>Interlink FSR 402 (30-81794), genuine - DigiKey.ca</t>
        </is>
      </c>
      <c r="C25" s="22" t="inlineStr">
        <is>
          <t>https://www.digikey.ca/en/products/detail/interlink-electronics/30-81794/2476468</t>
        </is>
      </c>
      <c r="D25" s="23" t="n">
        <v>10.43</v>
      </c>
      <c r="E25" s="24" t="n">
        <v>2</v>
      </c>
      <c r="F25" s="25">
        <f>D25*E25</f>
        <v/>
      </c>
      <c r="G25" s="21" t="inlineStr">
        <is>
          <t>One per hand (e.g. index finger) on an ESP32 ADC pin via 10k divider. Qty-1 price break $10.43; qty 10 drops to $9.02/ea ($90.19) if you want all fingertips. DigiKey shipping for small orders NOT verified (free over $100 CAD). Amazon clones have 1 review - avoid.</t>
        </is>
      </c>
    </row>
    <row r="26">
      <c r="A26" s="26" t="inlineStr">
        <is>
          <t>Optional subtotal (pre-tax)</t>
        </is>
      </c>
      <c r="B26" s="20" t="n"/>
      <c r="C26" s="20" t="n"/>
      <c r="D26" s="20" t="n"/>
      <c r="E26" s="20" t="n"/>
      <c r="F26" s="27">
        <f>SUM(F25:F25)</f>
        <v/>
      </c>
      <c r="G26" s="20" t="n"/>
    </row>
    <row r="27">
      <c r="A27" s="26" t="inlineStr">
        <is>
          <t>Core + optional, incl. tax</t>
        </is>
      </c>
      <c r="B27" s="20" t="n"/>
      <c r="C27" s="20" t="n"/>
      <c r="D27" s="20" t="n"/>
      <c r="E27" s="20" t="n"/>
      <c r="F27" s="27">
        <f>(F17+F26)*(1+$D$3)</f>
        <v/>
      </c>
      <c r="G27" s="20" t="n"/>
    </row>
    <row r="28">
      <c r="A28" s="26" t="inlineStr">
        <is>
          <t>Still under $500 with sensors?</t>
        </is>
      </c>
      <c r="B28" s="20" t="n"/>
      <c r="C28" s="20" t="n"/>
      <c r="D28" s="20" t="n"/>
      <c r="E28" s="20" t="n"/>
      <c r="F28" s="19">
        <f>IF(F27&lt;=$B$3,"YES","NO")</f>
        <v/>
      </c>
      <c r="G28" s="20" t="n"/>
    </row>
    <row r="30">
      <c r="A30" s="3" t="inlineStr">
        <is>
          <t>Notes</t>
        </is>
      </c>
    </row>
    <row r="31" ht="28" customHeight="1">
      <c r="A31" s="28" t="inlineStr">
        <is>
          <t>RECOMMENDATION: buy the core list + the 2 FSRs. Both fit comfortably under $500 CAD with tax, leaving room for shipping and a spare servo pack.</t>
        </is>
      </c>
    </row>
    <row r="32" ht="28" customHeight="1">
      <c r="A32" s="28" t="inlineStr">
        <is>
          <t>If you later want all 10 fingertips sensed, the DigiKey 10-pack ($90.19) still keeps core + sensors under $500 with tax.</t>
        </is>
      </c>
    </row>
    <row r="33" ht="28" customHeight="1">
      <c r="A33" s="28" t="inlineStr">
        <is>
          <t>Wiring rule: ESP32 3.3V/GND -&gt; PCA9685 VCC/GND, SDA/SCL -&gt; GPIO21/22. PSU (6V) -&gt; PCA9685 V+ screw terminal. Common ground between PSU and ESP32. Never feed servos from the ESP32 5V pin.</t>
        </is>
      </c>
    </row>
    <row r="34" ht="28" customHeight="1">
      <c r="A34" s="28" t="inlineStr">
        <is>
          <t>Not included: shipping (most Amazon.ca items ship free with Prime or over $35), tools (soldering iron, crimper), and fasteners/bearings from the InMoov print list.</t>
        </is>
      </c>
    </row>
    <row r="35" ht="28" customHeight="1">
      <c r="A35" s="28" t="inlineStr">
        <is>
          <t>Prices change daily - re-check the links before ordering. See 'Alternatives' for budget/premium swaps and 'Phase 2 - Full robot' for arms/base.</t>
        </is>
      </c>
    </row>
  </sheetData>
  <mergeCells count="13">
    <mergeCell ref="A21:E21"/>
    <mergeCell ref="A32:G32"/>
    <mergeCell ref="A20:E20"/>
    <mergeCell ref="A26:E26"/>
    <mergeCell ref="A31:G31"/>
    <mergeCell ref="A28:E28"/>
    <mergeCell ref="A34:G34"/>
    <mergeCell ref="A35:G35"/>
    <mergeCell ref="A19:E19"/>
    <mergeCell ref="A33:G33"/>
    <mergeCell ref="A17:E17"/>
    <mergeCell ref="A18:E18"/>
    <mergeCell ref="A27:E27"/>
  </mergeCells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2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4" customWidth="1" min="3" max="3"/>
    <col width="15" customWidth="1" min="4" max="4"/>
    <col width="10" customWidth="1" min="5" max="5"/>
    <col width="16" customWidth="1" min="6" max="6"/>
    <col width="80" customWidth="1" min="7" max="7"/>
  </cols>
  <sheetData>
    <row r="1">
      <c r="A1" s="1" t="inlineStr">
        <is>
          <t>Alternatives &amp; swaps (not in any total unless you swap them in)</t>
        </is>
      </c>
    </row>
    <row r="3">
      <c r="A3" s="8" t="inlineStr">
        <is>
          <t>Item</t>
        </is>
      </c>
      <c r="B3" s="8" t="inlineStr">
        <is>
          <t>Product Name</t>
        </is>
      </c>
      <c r="C3" s="8" t="inlineStr">
        <is>
          <t>Link</t>
        </is>
      </c>
      <c r="D3" s="8" t="inlineStr">
        <is>
          <t>Pack Price (CAD)</t>
        </is>
      </c>
      <c r="E3" s="8" t="inlineStr">
        <is>
          <t>Packs</t>
        </is>
      </c>
      <c r="F3" s="8" t="inlineStr">
        <is>
          <t>Line Total (CAD)</t>
        </is>
      </c>
      <c r="G3" s="8" t="inlineStr">
        <is>
          <t>Notes/Rationale</t>
        </is>
      </c>
    </row>
    <row r="4">
      <c r="A4" s="9" t="inlineStr">
        <is>
          <t>Servos - BUDGET tier</t>
        </is>
      </c>
      <c r="B4" s="9" t="inlineStr">
        <is>
          <t>Miuzei MG90S Metal Gear Micro Servo, 10-Pack</t>
        </is>
      </c>
      <c r="C4" s="10" t="inlineStr">
        <is>
          <t>https://www.amazon.ca/dp/B0BWJ26PX2</t>
        </is>
      </c>
      <c r="D4" s="11" t="n">
        <v>39.99</v>
      </c>
      <c r="E4" s="12" t="n">
        <v>1</v>
      </c>
      <c r="F4" s="13">
        <f>D4*E4</f>
        <v/>
      </c>
      <c r="G4" s="9" t="inlineStr">
        <is>
          <t>Saves $65.67 vs MG996R, but only ~2 kg-cm and micro size: needs a remixed (non-stock) InMoov forearm. 4.5* (784).</t>
        </is>
      </c>
    </row>
    <row r="5">
      <c r="A5" s="9" t="inlineStr">
        <is>
          <t>Servos - cheapest metal-gear standard</t>
        </is>
      </c>
      <c r="B5" s="9" t="inlineStr">
        <is>
          <t>Aideepen MG996R, 6-Pack</t>
        </is>
      </c>
      <c r="C5" s="10" t="inlineStr">
        <is>
          <t>https://www.amazon.ca/dp/B09LS7RB5J</t>
        </is>
      </c>
      <c r="D5" s="11" t="n">
        <v>39.99</v>
      </c>
      <c r="E5" s="12" t="n">
        <v>2</v>
      </c>
      <c r="F5" s="13">
        <f>D5*E5</f>
        <v/>
      </c>
      <c r="G5" s="9" t="inlineStr">
        <is>
          <t>12 servos for $79.98. Fallback if Deegoo sells out. Price from search results page. 4.3* (123).</t>
        </is>
      </c>
    </row>
    <row r="6">
      <c r="A6" s="9" t="inlineStr">
        <is>
          <t>Servos - alt MG996R</t>
        </is>
      </c>
      <c r="B6" s="9" t="inlineStr">
        <is>
          <t>Miuzei MG996R Metal Gear, 4-Pack</t>
        </is>
      </c>
      <c r="C6" s="10" t="inlineStr">
        <is>
          <t>https://www.amazon.ca/dp/B0BZ4N367M</t>
        </is>
      </c>
      <c r="D6" s="11" t="n">
        <v>42.99</v>
      </c>
      <c r="E6" s="12" t="n">
        <v>3</v>
      </c>
      <c r="F6" s="13">
        <f>D6*E6</f>
        <v/>
      </c>
      <c r="G6" s="9" t="inlineStr">
        <is>
          <t>Spec'd 15.2 kg-cm @6V. 4.4* (163).</t>
        </is>
      </c>
    </row>
    <row r="7">
      <c r="A7" s="9" t="inlineStr">
        <is>
          <t>Servos - PREMIUM tier</t>
        </is>
      </c>
      <c r="B7" s="9" t="inlineStr">
        <is>
          <t>Miuzei 20KG DS3218 Metal Gear Digital, 180deg, 4-Pack</t>
        </is>
      </c>
      <c r="C7" s="10" t="inlineStr">
        <is>
          <t>https://www.amazon.ca/dp/B0FH53CKCS</t>
        </is>
      </c>
      <c r="D7" s="11" t="n">
        <v>65.98999999999999</v>
      </c>
      <c r="E7" s="12" t="n">
        <v>3</v>
      </c>
      <c r="F7" s="13">
        <f>D7*E7</f>
        <v/>
      </c>
      <c r="G7" s="9" t="inlineStr">
        <is>
          <t>~20 kg-cm, stronger grip; $197.97 for 12 (+$92 vs core). Search results price. 4.6* (47).</t>
        </is>
      </c>
    </row>
    <row r="8">
      <c r="A8" s="9" t="inlineStr">
        <is>
          <t>Servo driver - single board</t>
        </is>
      </c>
      <c r="B8" s="9" t="inlineStr">
        <is>
          <t>JZK PCA9685 16-Channel PWM Driver (single)</t>
        </is>
      </c>
      <c r="C8" s="10" t="inlineStr">
        <is>
          <t>https://www.amazon.ca/dp/B06XSFFXQY</t>
        </is>
      </c>
      <c r="D8" s="11" t="n">
        <v>10.59</v>
      </c>
      <c r="E8" s="12" t="n">
        <v>1</v>
      </c>
      <c r="F8" s="13">
        <f>D8*E8</f>
        <v/>
      </c>
      <c r="G8" s="9" t="inlineStr">
        <is>
          <t>One board can run all 10 servos, but then one ESP32 drives both hands. 4.3* (222).</t>
        </is>
      </c>
    </row>
    <row r="9">
      <c r="A9" s="9" t="inlineStr">
        <is>
          <t>Power - alt per-hand PSU</t>
        </is>
      </c>
      <c r="B9" s="9" t="inlineStr">
        <is>
          <t>SHNITPWR 3.5-12V 12A 144W Adjustable</t>
        </is>
      </c>
      <c r="C9" s="10" t="inlineStr">
        <is>
          <t>https://www.amazon.ca/dp/B0CKXW6ZCJ</t>
        </is>
      </c>
      <c r="D9" s="11" t="n">
        <v>36.79</v>
      </c>
      <c r="E9" s="12" t="n">
        <v>2</v>
      </c>
      <c r="F9" s="13">
        <f>D9*E9</f>
        <v/>
      </c>
      <c r="G9" s="9" t="inlineStr">
        <is>
          <t>More headroom, same price. 4.1* (102).</t>
        </is>
      </c>
    </row>
    <row r="10">
      <c r="A10" s="9" t="inlineStr">
        <is>
          <t>Power - ONE supply for both hands</t>
        </is>
      </c>
      <c r="B10" s="9" t="inlineStr">
        <is>
          <t>Aclorol 5V 20A 100W Switching PSU (screw terminals)</t>
        </is>
      </c>
      <c r="C10" s="10" t="inlineStr">
        <is>
          <t>https://www.amazon.ca/dp/B07KC55TJF</t>
        </is>
      </c>
      <c r="D10" s="11" t="n">
        <v>39.44</v>
      </c>
      <c r="E10" s="12" t="n">
        <v>1</v>
      </c>
      <c r="F10" s="13">
        <f>D10*E10</f>
        <v/>
      </c>
      <c r="G10" s="9" t="inlineStr">
        <is>
          <t>Saves ~$34 but max ~5.75V (less torque), single point of failure, exposed mains terminals need a cover. Needs AC cord below. 4.5* (182).</t>
        </is>
      </c>
    </row>
    <row r="11">
      <c r="A11" s="9" t="inlineStr">
        <is>
          <t>Power - AC cord for 20A PSU</t>
        </is>
      </c>
      <c r="B11" s="9" t="inlineStr">
        <is>
          <t>Bergen 3ft 16AWG 3-wire pigtail cord</t>
        </is>
      </c>
      <c r="C11" s="10" t="inlineStr">
        <is>
          <t>https://www.amazon.ca/dp/B07BQCMPF2</t>
        </is>
      </c>
      <c r="D11" s="11" t="n">
        <v>6.87</v>
      </c>
      <c r="E11" s="12" t="n">
        <v>1</v>
      </c>
      <c r="F11" s="13">
        <f>D11*E11</f>
        <v/>
      </c>
      <c r="G11" s="9" t="inlineStr">
        <is>
          <t>Only with the single-PSU option. Search results price.</t>
        </is>
      </c>
    </row>
    <row r="12">
      <c r="A12" s="9" t="inlineStr">
        <is>
          <t>Barrel adapters - small pack</t>
        </is>
      </c>
      <c r="B12" s="9" t="inlineStr">
        <is>
          <t>2 Male + 2 Female 5.5x2.1 to Screw Terminal</t>
        </is>
      </c>
      <c r="C12" s="10" t="inlineStr">
        <is>
          <t>https://www.amazon.ca/dp/B07JMY5XXT</t>
        </is>
      </c>
      <c r="D12" s="11" t="n">
        <v>9.35</v>
      </c>
      <c r="E12" s="12" t="n">
        <v>1</v>
      </c>
      <c r="F12" s="13">
        <f>D12*E12</f>
        <v/>
      </c>
      <c r="G12" s="9" t="inlineStr">
        <is>
          <t>Search results price. 4.6* (114).</t>
        </is>
      </c>
    </row>
    <row r="13">
      <c r="A13" s="9" t="inlineStr">
        <is>
          <t>Tendon - alt</t>
        </is>
      </c>
      <c r="B13" s="9" t="inlineStr">
        <is>
          <t>Reaction Tackle Braided Line 50lb 150yd</t>
        </is>
      </c>
      <c r="C13" s="10" t="inlineStr">
        <is>
          <t>https://www.amazon.ca/dp/B01MRMI7R1</t>
        </is>
      </c>
      <c r="D13" s="11" t="n">
        <v>21.41</v>
      </c>
      <c r="E13" s="12" t="n">
        <v>1</v>
      </c>
      <c r="F13" s="13">
        <f>D13*E13</f>
        <v/>
      </c>
      <c r="G13" s="9" t="inlineStr">
        <is>
          <t>4.3* (26.5K). Diameter not listed.</t>
        </is>
      </c>
    </row>
    <row r="14">
      <c r="A14" s="9" t="inlineStr">
        <is>
          <t>Springs - alt</t>
        </is>
      </c>
      <c r="B14" s="9" t="inlineStr">
        <is>
          <t>Glarks 100pc Extension Springs, 25 sizes x 4</t>
        </is>
      </c>
      <c r="C14" s="10" t="inlineStr">
        <is>
          <t>https://www.amazon.ca/dp/B0D7CP84F4</t>
        </is>
      </c>
      <c r="D14" s="11" t="n">
        <v>20.95</v>
      </c>
      <c r="E14" s="12" t="n">
        <v>1</v>
      </c>
      <c r="F14" s="13">
        <f>D14*E14</f>
        <v/>
      </c>
      <c r="G14" s="9" t="inlineStr">
        <is>
          <t>Only 4 per size - not enough matching springs for 10 fingers.</t>
        </is>
      </c>
    </row>
    <row r="15">
      <c r="A15" s="9" t="inlineStr">
        <is>
          <t>Jumper kit - alt</t>
        </is>
      </c>
      <c r="B15" s="9" t="inlineStr">
        <is>
          <t>240pc 10cm+20cm Jumper Wire Kit</t>
        </is>
      </c>
      <c r="C15" s="10" t="inlineStr">
        <is>
          <t>https://www.amazon.ca/dp/B0BTT48V7P</t>
        </is>
      </c>
      <c r="D15" s="11" t="n">
        <v>15.99</v>
      </c>
      <c r="E15" s="12" t="n">
        <v>1</v>
      </c>
      <c r="F15" s="13">
        <f>D15*E15</f>
        <v/>
      </c>
      <c r="G15" s="9" t="inlineStr">
        <is>
          <t>Search results price. 4.6* (551).</t>
        </is>
      </c>
    </row>
    <row r="16">
      <c r="A16" s="9" t="inlineStr">
        <is>
          <t>Servo extensions - Prime alt</t>
        </is>
      </c>
      <c r="B16" s="9" t="inlineStr">
        <is>
          <t>10pc 30cm 3-Pin Servo Extension (Futaba/JR)</t>
        </is>
      </c>
      <c r="C16" s="10" t="inlineStr">
        <is>
          <t>https://www.amazon.ca/dp/B07NJB58XC</t>
        </is>
      </c>
      <c r="D16" s="11" t="n">
        <v>11.99</v>
      </c>
      <c r="E16" s="12" t="n">
        <v>1</v>
      </c>
      <c r="F16" s="13">
        <f>D16*E16</f>
        <v/>
      </c>
      <c r="G16" s="9" t="inlineStr">
        <is>
          <t>Shipped by Amazon (faster). 4.4* (40).</t>
        </is>
      </c>
    </row>
    <row r="17">
      <c r="A17" s="9" t="inlineStr">
        <is>
          <t>Power wire - longer</t>
        </is>
      </c>
      <c r="B17" s="9" t="inlineStr">
        <is>
          <t>BNTECHGO 18 AWG Silicone Wire 25ft</t>
        </is>
      </c>
      <c r="C17" s="10" t="inlineStr">
        <is>
          <t>https://www.amazon.ca/dp/B07HGTKQ89</t>
        </is>
      </c>
      <c r="D17" s="11" t="n">
        <v>19.82</v>
      </c>
      <c r="E17" s="12" t="n">
        <v>1</v>
      </c>
      <c r="F17" s="13">
        <f>D17*E17</f>
        <v/>
      </c>
      <c r="G17" s="9" t="inlineStr">
        <is>
          <t>Search results price.</t>
        </is>
      </c>
    </row>
    <row r="18">
      <c r="A18" s="9" t="inlineStr">
        <is>
          <t>FSR - 10 genuine (all fingertips)</t>
        </is>
      </c>
      <c r="B18" s="9" t="inlineStr">
        <is>
          <t>Interlink FSR 402 (30-81794) x10 - DigiKey.ca</t>
        </is>
      </c>
      <c r="C18" s="10" t="inlineStr">
        <is>
          <t>https://www.digikey.ca/en/products/detail/interlink-electronics/30-81794/2476468</t>
        </is>
      </c>
      <c r="D18" s="11" t="n">
        <v>90.19</v>
      </c>
      <c r="E18" s="12" t="n">
        <v>1</v>
      </c>
      <c r="F18" s="13">
        <f>D18*E18</f>
        <v/>
      </c>
      <c r="G18" s="9" t="inlineStr">
        <is>
          <t>$9.02/ea at qty 10; one per fingertip on both hands.</t>
        </is>
      </c>
    </row>
    <row r="19">
      <c r="A19" s="9" t="inlineStr">
        <is>
          <t>FSR - Amazon clone</t>
        </is>
      </c>
      <c r="B19" s="9" t="inlineStr">
        <is>
          <t>RELAND SUN FSR402-short (clone), sold singly</t>
        </is>
      </c>
      <c r="C19" s="10" t="inlineStr">
        <is>
          <t>https://www.amazon.ca/dp/B0B5F7JDT5</t>
        </is>
      </c>
      <c r="D19" s="11" t="n">
        <v>8.19</v>
      </c>
      <c r="E19" s="12" t="n">
        <v>10</v>
      </c>
      <c r="F19" s="13">
        <f>D19*E19</f>
        <v/>
      </c>
      <c r="G19" s="9" t="inlineStr">
        <is>
          <t>Only 1 review, +$9.50 shipping. Not recommended.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4" customWidth="1" min="3" max="3"/>
    <col width="15" customWidth="1" min="4" max="4"/>
    <col width="10" customWidth="1" min="5" max="5"/>
    <col width="16" customWidth="1" min="6" max="6"/>
    <col width="80" customWidth="1" min="7" max="7"/>
  </cols>
  <sheetData>
    <row r="1">
      <c r="A1" s="1" t="inlineStr">
        <is>
          <t>Phase 2 - Life-size humanoid v1 (torso + arms on a wheeled base), Kimi round 3 - prices in CAD</t>
        </is>
      </c>
    </row>
    <row r="2">
      <c r="A2" s="2" t="inlineStr">
        <is>
          <t>Total C$1,341.49 pre-tax vs the C$1,500 budget (C$158.51 buffer). Compute is the owner's laptop (Pi Zero 2 W is out of stock in Canada). Week 1: buy ONE 1000:1 and ONE 500:1 motor and bench-test them (torque 80 kg-cm, backlash &lt;= 1.5 deg, self-lock &lt; 1 deg, &lt; 60 C) before ordering the other six. Legs gate at week 10: two more STS3215 6-packs + 3S LiPo (~C$388) for the small walker; needs trims of ~C$229 from the buffer.</t>
        </is>
      </c>
    </row>
    <row r="3">
      <c r="C3" s="3" t="inlineStr">
        <is>
          <t>USD-&gt;CAD rate (assumed, verify)</t>
        </is>
      </c>
      <c r="D3" s="29" t="n">
        <v>1.38</v>
      </c>
    </row>
    <row r="5">
      <c r="A5" s="8" t="inlineStr">
        <is>
          <t>Item</t>
        </is>
      </c>
      <c r="B5" s="8" t="inlineStr">
        <is>
          <t>Product / Vendor</t>
        </is>
      </c>
      <c r="C5" s="8" t="inlineStr">
        <is>
          <t>Link</t>
        </is>
      </c>
      <c r="D5" s="8" t="inlineStr">
        <is>
          <t>Unit Price (CAD)</t>
        </is>
      </c>
      <c r="E5" s="8" t="inlineStr">
        <is>
          <t>Quantity</t>
        </is>
      </c>
      <c r="F5" s="8" t="inlineStr">
        <is>
          <t>Line Total (CAD)</t>
        </is>
      </c>
      <c r="G5" s="8" t="inlineStr">
        <is>
          <t>Notes/Rationale</t>
        </is>
      </c>
    </row>
    <row r="6">
      <c r="A6" s="9" t="inlineStr">
        <is>
          <t>Shoulder pitch + roll motors (x4)</t>
        </is>
      </c>
      <c r="B6" s="9" t="inlineStr">
        <is>
          <t>NFP 5840-31ZY-EN 12V worm motor, 1000:1, hall encoder</t>
        </is>
      </c>
      <c r="C6" s="10" t="inlineStr">
        <is>
          <t>https://nfpmotor.com/12v-24v-dc-permanent-magnet-dc-turbo-worm-reduction-motor-model-nfp-5840-31zy</t>
        </is>
      </c>
      <c r="D6" s="11" t="n">
        <v>79</v>
      </c>
      <c r="E6" s="12" t="n">
        <v>4</v>
      </c>
      <c r="F6" s="13">
        <f>D6*E6</f>
        <v/>
      </c>
      <c r="G6" s="9" t="inlineStr">
        <is>
          <t>100 kg-cm rated (1.4x margin on 71 kg-cm needed), ~2.5 s per 90 deg, self-locking so arms hold without power. AliExpress regular price C$79 (C$30 promo is 1 per customer). Buy 1 first and bench-test.</t>
        </is>
      </c>
    </row>
    <row r="7">
      <c r="A7" s="9" t="inlineStr">
        <is>
          <t>Shoulder yaw + elbow motors (x4)</t>
        </is>
      </c>
      <c r="B7" s="9" t="inlineStr">
        <is>
          <t>NFP 5840-31ZY-EN 12V worm motor, 500:1, hall encoder</t>
        </is>
      </c>
      <c r="C7" s="10" t="inlineStr">
        <is>
          <t>https://microdcmotors.com/product/12v-24v-high-torque-low-speed-dc-motor-with-encoder-self-locking-model-nfp-5840-31zy-en</t>
        </is>
      </c>
      <c r="D7" s="11" t="n">
        <v>79</v>
      </c>
      <c r="E7" s="12" t="n">
        <v>4</v>
      </c>
      <c r="F7" s="13">
        <f>D7*E7</f>
        <v/>
      </c>
      <c r="G7" s="9" t="inlineStr">
        <is>
          <t>70 kg-cm rated; elbow needs ~44 (1.6x), yaw ~25 (2.8x); ~1.25 s per 90 deg. Order after the week-1 bench test passes.</t>
        </is>
      </c>
    </row>
    <row r="8">
      <c r="A8" s="9" t="inlineStr">
        <is>
          <t>Wrist x2, neck x2, 2 spares</t>
        </is>
      </c>
      <c r="B8" s="9" t="inlineStr">
        <is>
          <t>Feetech STS3215 12V 30 kg-cm bus servo, 6-pack (official store)</t>
        </is>
      </c>
      <c r="C8" s="10" t="inlineStr">
        <is>
          <t>https://www.aliexpress.com/item/1005008670304643.html</t>
        </is>
      </c>
      <c r="D8" s="11" t="n">
        <v>166.42</v>
      </c>
      <c r="E8" s="12" t="n">
        <v>1</v>
      </c>
      <c r="F8" s="13">
        <f>D8*E8</f>
        <v/>
      </c>
      <c r="G8" s="9" t="inlineStr">
        <is>
          <t>C$160.99 + C$5.43 shipping, 4.9 stars, 232 sold. Checked on the page.</t>
        </is>
      </c>
    </row>
    <row r="9">
      <c r="A9" s="9" t="inlineStr">
        <is>
          <t>Drive base</t>
        </is>
      </c>
      <c r="B9" s="9" t="inlineStr">
        <is>
          <t>Used hoverboard (2x 350 W hub motors + 36 V pack)</t>
        </is>
      </c>
      <c r="C9" s="10" t="inlineStr">
        <is>
          <t>https://www.kijiji.ca/b-city-of-toronto/hoverboard/k0c170l1700273</t>
        </is>
      </c>
      <c r="D9" s="11" t="n">
        <v>120</v>
      </c>
      <c r="E9" s="12" t="n">
        <v>1</v>
      </c>
      <c r="F9" s="13">
        <f>D9*E9</f>
        <v/>
      </c>
      <c r="G9" s="9" t="inlineStr">
        <is>
          <t>C$50-150 on Kijiji Toronto (43 ads). Open it before paying: single mainboard with STM32F103RCT6/RET6 or GD32F103RCT6 only; walk away from AT32F403/413 boards. Runs EFeru FOC firmware (free).</t>
        </is>
      </c>
    </row>
    <row r="10">
      <c r="A10" s="9" t="inlineStr">
        <is>
          <t>Base power converter</t>
        </is>
      </c>
      <c r="B10" s="9" t="inlineStr">
        <is>
          <t>DC-DC buck 30-60 V in -&gt; 12 V, 15 A+</t>
        </is>
      </c>
      <c r="C10" s="10" t="inlineStr">
        <is>
          <t>https://www.amazon.ca/</t>
        </is>
      </c>
      <c r="D10" s="11" t="n">
        <v>40</v>
      </c>
      <c r="E10" s="12" t="n">
        <v>1</v>
      </c>
      <c r="F10" s="13">
        <f>D10*E10</f>
        <v/>
      </c>
      <c r="G10" s="9" t="inlineStr">
        <is>
          <t>Estimate C$35-45. Must accept 42 V (a 36 V pack charges to 42 V), so an 18-36 V input unit will fail.</t>
        </is>
      </c>
    </row>
    <row r="11">
      <c r="A11" s="9" t="inlineStr">
        <is>
          <t>Casters (x2)</t>
        </is>
      </c>
      <c r="B11" s="9" t="inlineStr">
        <is>
          <t>2 in swivel casters</t>
        </is>
      </c>
      <c r="C11" s="10" t="inlineStr">
        <is>
          <t>https://www.amazon.ca/</t>
        </is>
      </c>
      <c r="D11" s="11" t="n">
        <v>20</v>
      </c>
      <c r="E11" s="12" t="n">
        <v>1</v>
      </c>
      <c r="F11" s="13">
        <f>D11*E11</f>
        <v/>
      </c>
      <c r="G11" s="9" t="inlineStr">
        <is>
          <t>Estimate. Stabilize the tall torso on the hoverboard base.</t>
        </is>
      </c>
    </row>
    <row r="12">
      <c r="A12" s="9" t="inlineStr">
        <is>
          <t>Safety + power wiring</t>
        </is>
      </c>
      <c r="B12" s="9" t="inlineStr">
        <is>
          <t>E-stop button, fuses, XT60 connectors, 14 AWG wire</t>
        </is>
      </c>
      <c r="C12" s="10" t="inlineStr">
        <is>
          <t>https://www.amazon.ca/</t>
        </is>
      </c>
      <c r="D12" s="11" t="n">
        <v>30</v>
      </c>
      <c r="E12" s="12" t="n">
        <v>1</v>
      </c>
      <c r="F12" s="13">
        <f>D12*E12</f>
        <v/>
      </c>
      <c r="G12" s="9" t="inlineStr">
        <is>
          <t>Estimate. Non-negotiable for a 1.8 m robot on wheels.</t>
        </is>
      </c>
    </row>
    <row r="13">
      <c r="A13" s="9" t="inlineStr">
        <is>
          <t>Motor drivers (x8)</t>
        </is>
      </c>
      <c r="B13" s="9" t="inlineStr">
        <is>
          <t>BTS7960 43 A H-bridge</t>
        </is>
      </c>
      <c r="C13" s="10" t="inlineStr">
        <is>
          <t>https://www.universal-solder.ca/product/dual-bts7960-h-bridge-dc-motor-driver-max-43a/</t>
        </is>
      </c>
      <c r="D13" s="11" t="n">
        <v>7.19</v>
      </c>
      <c r="E13" s="12" t="n">
        <v>8</v>
      </c>
      <c r="F13" s="13">
        <f>D13*E13</f>
        <v/>
      </c>
      <c r="G13" s="9" t="inlineStr">
        <is>
          <t>C$7.99, C$7.19 each at qty 3-9, in stock in Canada (Universal-Solder). Checked on the page.</t>
        </is>
      </c>
    </row>
    <row r="14">
      <c r="A14" s="9" t="inlineStr">
        <is>
          <t>Joint angle sensors (x8)</t>
        </is>
      </c>
      <c r="B14" s="9" t="inlineStr">
        <is>
          <t>AS5600 magnetic encoder module</t>
        </is>
      </c>
      <c r="C14" s="10" t="inlineStr">
        <is>
          <t>https://www.aliexpress.com/w/wholesale-as5600-module.html</t>
        </is>
      </c>
      <c r="D14" s="11" t="n">
        <v>3.39</v>
      </c>
      <c r="E14" s="12" t="n">
        <v>8</v>
      </c>
      <c r="F14" s="13">
        <f>D14*E14</f>
        <v/>
      </c>
      <c r="G14" s="9" t="inlineStr">
        <is>
          <t>Absolute angle on each worm-motor output shaft. Search-page price.</t>
        </is>
      </c>
    </row>
    <row r="15">
      <c r="A15" s="9" t="inlineStr">
        <is>
          <t>Servo bus adapters (x2)</t>
        </is>
      </c>
      <c r="B15" s="9" t="inlineStr">
        <is>
          <t>Waveshare Bus Servo Adapter (A)</t>
        </is>
      </c>
      <c r="C15" s="10" t="inlineStr">
        <is>
          <t>https://www.waveshare.com/bus-servo-adapter-a.htm</t>
        </is>
      </c>
      <c r="D15" s="11" t="n">
        <v>6.99</v>
      </c>
      <c r="E15" s="12" t="n">
        <v>2</v>
      </c>
      <c r="F15" s="13">
        <f>D15*E15</f>
        <v/>
      </c>
      <c r="G15" s="9" t="inlineStr">
        <is>
          <t>US$4.99 on waveshare.com; Canada shipping not checked.</t>
        </is>
      </c>
    </row>
    <row r="16">
      <c r="A16" s="9" t="inlineStr">
        <is>
          <t>Head camera</t>
        </is>
      </c>
      <c r="B16" s="9" t="inlineStr">
        <is>
          <t>EMEET C960 1080p webcam</t>
        </is>
      </c>
      <c r="C16" s="10" t="inlineStr">
        <is>
          <t>https://www.amazon.ca/dp/B07M6Y7355</t>
        </is>
      </c>
      <c r="D16" s="11" t="n">
        <v>34.99</v>
      </c>
      <c r="E16" s="12" t="n">
        <v>1</v>
      </c>
      <c r="F16" s="13">
        <f>D16*E16</f>
        <v/>
      </c>
      <c r="G16" s="9" t="inlineStr">
        <is>
          <t>4.4 stars, 32.5K ratings.</t>
        </is>
      </c>
    </row>
    <row r="17">
      <c r="A17" s="9" t="inlineStr">
        <is>
          <t>Wrist cameras (x2)</t>
        </is>
      </c>
      <c r="B17" s="9" t="inlineStr">
        <is>
          <t>1080p UVC wide-angle camera module</t>
        </is>
      </c>
      <c r="C17" s="10" t="inlineStr">
        <is>
          <t>https://www.aliexpress.com/w/wholesale-wide-angle-usb-camera.html</t>
        </is>
      </c>
      <c r="D17" s="11" t="n">
        <v>12</v>
      </c>
      <c r="E17" s="12" t="n">
        <v>2</v>
      </c>
      <c r="F17" s="13">
        <f>D17*E17</f>
        <v/>
      </c>
      <c r="G17" s="9" t="inlineStr">
        <is>
          <t>Estimate. Can wait until week 3.</t>
        </is>
      </c>
    </row>
    <row r="18">
      <c r="A18" s="9" t="inlineStr">
        <is>
          <t>Balance / motion sensor</t>
        </is>
      </c>
      <c r="B18" s="9" t="inlineStr">
        <is>
          <t>BNO085 9-axis IMU (clone)</t>
        </is>
      </c>
      <c r="C18" s="10" t="inlineStr">
        <is>
          <t>https://www.aliexpress.com/w/wholesale-bno085.html</t>
        </is>
      </c>
      <c r="D18" s="11" t="n">
        <v>17.58</v>
      </c>
      <c r="E18" s="12" t="n">
        <v>1</v>
      </c>
      <c r="F18" s="13">
        <f>D18*E18</f>
        <v/>
      </c>
      <c r="G18" s="9" t="inlineStr">
        <is>
          <t>Adafruit original is C$33-40.</t>
        </is>
      </c>
    </row>
    <row r="19">
      <c r="A19" s="9" t="inlineStr">
        <is>
          <t>Servo cables (x2 packs)</t>
        </is>
      </c>
      <c r="B19" s="9" t="inlineStr">
        <is>
          <t>5264 3-pin bus servo cable, 10-pack</t>
        </is>
      </c>
      <c r="C19" s="10" t="inlineStr">
        <is>
          <t>https://www.aliexpress.com/item/1005008074862037.html</t>
        </is>
      </c>
      <c r="D19" s="11" t="n">
        <v>6.72</v>
      </c>
      <c r="E19" s="12" t="n">
        <v>2</v>
      </c>
      <c r="F19" s="13">
        <f>D19*E19</f>
        <v/>
      </c>
      <c r="G19" s="9" t="inlineStr">
        <is>
          <t>+ ~C$8 shipping.</t>
        </is>
      </c>
    </row>
    <row r="20">
      <c r="A20" s="9" t="inlineStr">
        <is>
          <t>Powered USB hub</t>
        </is>
      </c>
      <c r="B20" s="9" t="inlineStr">
        <is>
          <t>7-port powered USB 3.0 hub (TP-Link UH700 class)</t>
        </is>
      </c>
      <c r="C20" s="10" t="inlineStr">
        <is>
          <t>https://www.amazon.ca/dp/B00OTK16FK</t>
        </is>
      </c>
      <c r="D20" s="11" t="n">
        <v>65</v>
      </c>
      <c r="E20" s="12" t="n">
        <v>1</v>
      </c>
      <c r="F20" s="13">
        <f>D20*E20</f>
        <v/>
      </c>
      <c r="G20" s="9" t="inlineStr">
        <is>
          <t>Checked: C$59-71 for reputable hubs.</t>
        </is>
      </c>
    </row>
    <row r="21">
      <c r="A21" s="9" t="inlineStr">
        <is>
          <t>Hardware</t>
        </is>
      </c>
      <c r="B21" s="9" t="inlineStr">
        <is>
          <t>M2/M3/M4 screw kit + 100 M3 heat-set inserts</t>
        </is>
      </c>
      <c r="C21" s="10" t="inlineStr">
        <is>
          <t>https://www.amazon.ca/</t>
        </is>
      </c>
      <c r="D21" s="11" t="n">
        <v>27</v>
      </c>
      <c r="E21" s="12" t="n">
        <v>1</v>
      </c>
      <c r="F21" s="13">
        <f>D21*E21</f>
        <v/>
      </c>
      <c r="G21" s="9" t="inlineStr">
        <is>
          <t>LuKaiSen kit C$15.99 + HANGLIFE inserts C$10.99.</t>
        </is>
      </c>
    </row>
    <row r="22">
      <c r="A22" s="9" t="inlineStr">
        <is>
          <t>Work stand clamps</t>
        </is>
      </c>
      <c r="B22" s="9" t="inlineStr">
        <is>
          <t>WEN CLC424 C-clamps, 2-pack</t>
        </is>
      </c>
      <c r="C22" s="10" t="inlineStr">
        <is>
          <t>https://www.amazon.ca/dp/B08SQFT9TW</t>
        </is>
      </c>
      <c r="D22" s="11" t="n">
        <v>17.44</v>
      </c>
      <c r="E22" s="12" t="n">
        <v>1</v>
      </c>
      <c r="F22" s="13">
        <f>D22*E22</f>
        <v/>
      </c>
      <c r="G22" s="9" t="inlineStr">
        <is>
          <t>Holds the torso on the bench during arm bring-up.</t>
        </is>
      </c>
    </row>
    <row r="23">
      <c r="A23" s="9" t="inlineStr">
        <is>
          <t>Wire + connectors</t>
        </is>
      </c>
      <c r="B23" s="9" t="inlineStr">
        <is>
          <t>Assorted wire, JST/Dupont, heat shrink</t>
        </is>
      </c>
      <c r="C23" s="10" t="inlineStr">
        <is>
          <t>https://www.amazon.ca/</t>
        </is>
      </c>
      <c r="D23" s="11" t="n">
        <v>35</v>
      </c>
      <c r="E23" s="12" t="n">
        <v>1</v>
      </c>
      <c r="F23" s="13">
        <f>D23*E23</f>
        <v/>
      </c>
      <c r="G23" s="9" t="inlineStr">
        <is>
          <t>Estimate.</t>
        </is>
      </c>
    </row>
    <row r="24">
      <c r="A24" s="14" t="inlineStr">
        <is>
          <t>Phase 2 subtotal (CAD, pre-tax/shipping)</t>
        </is>
      </c>
      <c r="B24" s="15" t="n"/>
      <c r="C24" s="15" t="n"/>
      <c r="D24" s="15" t="n"/>
      <c r="E24" s="15" t="n"/>
      <c r="F24" s="16">
        <f>SUM(F6:F23)</f>
        <v/>
      </c>
      <c r="G24" s="15" t="n"/>
    </row>
    <row r="25">
      <c r="A25" s="14" t="inlineStr">
        <is>
          <t>Under the C$1,500 budget by</t>
        </is>
      </c>
      <c r="B25" s="15" t="n"/>
      <c r="C25" s="15" t="n"/>
      <c r="D25" s="15" t="n"/>
      <c r="E25" s="15" t="n"/>
      <c r="F25" s="16">
        <f>1500-F24</f>
        <v/>
      </c>
      <c r="G25" s="15" t="n"/>
    </row>
    <row r="27">
      <c r="A27" s="30" t="inlineStr">
        <is>
          <t>Cerebras = System-2 brain (planner, voice, replanning, success checks) in the cloud; ACT/SmolVLA motor policy runs locally at 30-50 Hz. See research brief.</t>
        </is>
      </c>
    </row>
  </sheetData>
  <mergeCells count="2">
    <mergeCell ref="A25:E25"/>
    <mergeCell ref="A24:E24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  <hyperlink xmlns:r="http://schemas.openxmlformats.org/officeDocument/2006/relationships" ref="C20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2026-09-25T22:18:18Z</dcterms:created>
  <dcterms:modified xmlns:dcterms="http://purl.org/dc/terms/" xmlns:xsi="http://www.w3.org/2001/XMLSchema-instance" xsi:type="dcterms:W3CDTF">2026-09-25T22:18:18Z</dcterms:modified>
</cp:coreProperties>
</file>